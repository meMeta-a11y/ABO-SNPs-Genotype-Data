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s651007" sheetId="1" state="visible" r:id="rId3"/>
    <sheet name="rs630014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<sst xmlns="http://schemas.openxmlformats.org/spreadsheetml/2006/main" count="52" uniqueCount="24">
  <si>
    <t xml:space="preserve">Author</t>
  </si>
  <si>
    <t xml:space="preserve">Year</t>
  </si>
  <si>
    <t xml:space="preserve">Study type</t>
  </si>
  <si>
    <t xml:space="preserve">Ethnicity</t>
  </si>
  <si>
    <t xml:space="preserve">CC</t>
  </si>
  <si>
    <t xml:space="preserve">CT</t>
  </si>
  <si>
    <t xml:space="preserve">TT</t>
  </si>
  <si>
    <t xml:space="preserve">Total Case</t>
  </si>
  <si>
    <t xml:space="preserve">Major allele</t>
  </si>
  <si>
    <t xml:space="preserve">Minor allele</t>
  </si>
  <si>
    <t xml:space="preserve">Total Control</t>
  </si>
  <si>
    <t xml:space="preserve">Control</t>
  </si>
  <si>
    <t xml:space="preserve">Cao, M</t>
  </si>
  <si>
    <t xml:space="preserve">China</t>
  </si>
  <si>
    <t xml:space="preserve">A</t>
  </si>
  <si>
    <t xml:space="preserve">Li, H</t>
  </si>
  <si>
    <t xml:space="preserve">Case-control</t>
  </si>
  <si>
    <t xml:space="preserve">Population-based healthy controls</t>
  </si>
  <si>
    <t xml:space="preserve">Ling X</t>
  </si>
  <si>
    <t xml:space="preserve">Major Allele</t>
  </si>
  <si>
    <t xml:space="preserve">Hanson E, </t>
  </si>
  <si>
    <t xml:space="preserve">Caucasian</t>
  </si>
  <si>
    <t xml:space="preserve">Xu, H</t>
  </si>
  <si>
    <t xml:space="preserve">Zhang, H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</si>
</sst>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000_ "/>
  </numFmts>
  <fonts count="10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0000"/>
      <name val="TimES NEW ROMAN"/>
      <family val="1"/>
      <charset val="1"/>
    </font>
    <font>
      <b val="true"/>
      <sz val="12"/>
      <color rgb="FF000000"/>
      <name val="TimES NEW ROMAN"/>
      <family val="1"/>
      <charset val="1"/>
    </font>
    <font>
      <sz val="12"/>
      <color rgb="FF211E1E"/>
      <name val="TimES NEW ROMAN"/>
      <family val="1"/>
      <charset val="1"/>
    </font>
    <font>
      <sz val="12"/>
      <color rgb="FF000000"/>
      <name val="Times new roman"/>
      <family val="1"/>
      <charset val="1"/>
    </font>
    <font>
      <b val="true"/>
      <sz val="12"/>
      <color rgb="FF000000"/>
      <name val="Times new roman"/>
      <family val="1"/>
      <charset val="1"/>
    </font>
    <font>
      <sz val="12"/>
      <color rgb="FF211E1E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1E1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A1" activeCellId="0" sqref="1:1048576"/>
    </sheetView>
  </sheetViews>
  <sheetFormatPr defaultColWidth="9.34375" defaultRowHeight="15" zeroHeight="false" outlineLevelRow="0" outlineLevelCol="0"/>
  <cols>
    <col collapsed="false" customWidth="false" hidden="false" outlineLevel="0" max="16384" min="1" style="1" width="9.34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4</v>
      </c>
      <c r="L1" s="3" t="s">
        <v>5</v>
      </c>
      <c r="M1" s="3" t="s">
        <v>6</v>
      </c>
      <c r="N1" s="3" t="s">
        <v>10</v>
      </c>
      <c r="O1" s="3" t="s">
        <v>11</v>
      </c>
      <c r="P1" s="3" t="s">
        <v>8</v>
      </c>
      <c r="Q1" s="3" t="s">
        <v>9</v>
      </c>
    </row>
    <row r="2" customFormat="false" ht="15" hidden="false" customHeight="false" outlineLevel="0" collapsed="false">
      <c r="A2" s="4" t="s">
        <v>12</v>
      </c>
      <c r="B2" s="1" t="n">
        <v>2019</v>
      </c>
      <c r="C2" s="1" t="s">
        <v>13</v>
      </c>
      <c r="D2" s="1" t="s">
        <v>14</v>
      </c>
      <c r="E2" s="1" t="n">
        <v>52</v>
      </c>
      <c r="F2" s="1" t="n">
        <v>44</v>
      </c>
      <c r="G2" s="1" t="n">
        <v>4</v>
      </c>
      <c r="H2" s="1" t="n">
        <v>100</v>
      </c>
      <c r="I2" s="5" t="n">
        <f aca="false">(E2*2)+F2</f>
        <v>148</v>
      </c>
      <c r="J2" s="5" t="n">
        <f aca="false">(G2*2)+F2</f>
        <v>52</v>
      </c>
      <c r="K2" s="1" t="n">
        <v>26</v>
      </c>
      <c r="L2" s="1" t="n">
        <v>14</v>
      </c>
      <c r="M2" s="1" t="n">
        <v>3</v>
      </c>
      <c r="N2" s="1" t="n">
        <v>43</v>
      </c>
      <c r="P2" s="1" t="n">
        <f aca="false">(K2*2)+L2</f>
        <v>66</v>
      </c>
      <c r="Q2" s="1" t="n">
        <f aca="false">(M2*2)+L2</f>
        <v>20</v>
      </c>
    </row>
    <row r="3" customFormat="false" ht="15" hidden="false" customHeight="false" outlineLevel="0" collapsed="false">
      <c r="A3" s="5" t="s">
        <v>15</v>
      </c>
      <c r="B3" s="5" t="n">
        <v>2017</v>
      </c>
      <c r="C3" s="5" t="s">
        <v>16</v>
      </c>
      <c r="D3" s="5" t="s">
        <v>14</v>
      </c>
      <c r="E3" s="5" t="n">
        <v>565</v>
      </c>
      <c r="F3" s="5" t="n">
        <v>354</v>
      </c>
      <c r="G3" s="5" t="n">
        <v>72</v>
      </c>
      <c r="H3" s="5" t="n">
        <v>991</v>
      </c>
      <c r="I3" s="5" t="n">
        <f aca="false">(E3*2)+F3</f>
        <v>1484</v>
      </c>
      <c r="J3" s="5" t="n">
        <f aca="false">(G3*2)+F3</f>
        <v>498</v>
      </c>
      <c r="K3" s="5" t="n">
        <v>597</v>
      </c>
      <c r="L3" s="5" t="n">
        <v>347</v>
      </c>
      <c r="M3" s="5" t="n">
        <v>58</v>
      </c>
      <c r="N3" s="5" t="n">
        <v>1002</v>
      </c>
      <c r="O3" s="6" t="s">
        <v>17</v>
      </c>
      <c r="P3" s="1" t="n">
        <f aca="false">(K3*2)+L3</f>
        <v>1541</v>
      </c>
      <c r="Q3" s="1" t="n">
        <f aca="false">(M3*2)+L3</f>
        <v>463</v>
      </c>
    </row>
    <row r="4" customFormat="false" ht="15" hidden="false" customHeight="false" outlineLevel="0" collapsed="false">
      <c r="A4" s="5" t="s">
        <v>18</v>
      </c>
      <c r="B4" s="5" t="n">
        <v>2016</v>
      </c>
      <c r="C4" s="7" t="s">
        <v>16</v>
      </c>
      <c r="D4" s="5" t="s">
        <v>14</v>
      </c>
      <c r="E4" s="1" t="n">
        <v>571</v>
      </c>
      <c r="F4" s="1" t="n">
        <v>312</v>
      </c>
      <c r="G4" s="1" t="n">
        <v>35</v>
      </c>
      <c r="H4" s="5" t="n">
        <v>918</v>
      </c>
      <c r="I4" s="5" t="n">
        <f aca="false">(E4*2)+F4</f>
        <v>1454</v>
      </c>
      <c r="J4" s="5" t="n">
        <f aca="false">(G4*2)+F4</f>
        <v>382</v>
      </c>
      <c r="K4" s="1" t="n">
        <v>33</v>
      </c>
      <c r="L4" s="1" t="n">
        <v>294</v>
      </c>
      <c r="M4" s="1" t="n">
        <v>33</v>
      </c>
      <c r="N4" s="1" t="n">
        <v>979</v>
      </c>
      <c r="P4" s="1" t="n">
        <f aca="false">(K4*2)+L4</f>
        <v>360</v>
      </c>
      <c r="Q4" s="1" t="n">
        <f aca="false">(M4*2)+L4</f>
        <v>360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1" activeCellId="0" sqref="1:1048576"/>
    </sheetView>
  </sheetViews>
  <sheetFormatPr defaultColWidth="9.34375" defaultRowHeight="15" zeroHeight="false" outlineLevelRow="0" outlineLevelCol="0"/>
  <cols>
    <col collapsed="false" customWidth="false" hidden="false" outlineLevel="0" max="16384" min="1" style="8" width="9.34"/>
  </cols>
  <sheetData>
    <row r="1" customFormat="false" ht="15" hidden="false" customHeight="false" outlineLevel="0" collapsed="false">
      <c r="A1" s="9" t="s">
        <v>0</v>
      </c>
      <c r="B1" s="9" t="s">
        <v>1</v>
      </c>
      <c r="C1" s="9" t="s">
        <v>2</v>
      </c>
      <c r="D1" s="9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19</v>
      </c>
      <c r="J1" s="10" t="s">
        <v>9</v>
      </c>
      <c r="K1" s="10" t="s">
        <v>4</v>
      </c>
      <c r="L1" s="10" t="s">
        <v>5</v>
      </c>
      <c r="M1" s="10" t="s">
        <v>6</v>
      </c>
      <c r="N1" s="10" t="s">
        <v>10</v>
      </c>
      <c r="O1" s="10" t="s">
        <v>19</v>
      </c>
      <c r="P1" s="10" t="s">
        <v>9</v>
      </c>
    </row>
    <row r="2" customFormat="false" ht="15" hidden="false" customHeight="false" outlineLevel="0" collapsed="false">
      <c r="A2" s="11" t="s">
        <v>20</v>
      </c>
      <c r="B2" s="11" t="n">
        <v>2012</v>
      </c>
      <c r="C2" s="11" t="s">
        <v>16</v>
      </c>
      <c r="D2" s="11" t="s">
        <v>21</v>
      </c>
      <c r="E2" s="11" t="n">
        <v>210</v>
      </c>
      <c r="F2" s="11" t="n">
        <v>276</v>
      </c>
      <c r="G2" s="11" t="n">
        <v>108</v>
      </c>
      <c r="H2" s="11" t="n">
        <v>594</v>
      </c>
      <c r="I2" s="11" t="n">
        <f aca="false">(E2*2)+F2</f>
        <v>696</v>
      </c>
      <c r="J2" s="11" t="n">
        <f aca="false">(G2*2)+F2</f>
        <v>492</v>
      </c>
      <c r="K2" s="11" t="n">
        <v>192</v>
      </c>
      <c r="L2" s="11" t="n">
        <v>300</v>
      </c>
      <c r="M2" s="11" t="n">
        <v>108</v>
      </c>
      <c r="N2" s="11" t="n">
        <v>600</v>
      </c>
      <c r="O2" s="11" t="n">
        <f aca="false">(K2*2)+L2</f>
        <v>684</v>
      </c>
      <c r="P2" s="11" t="n">
        <f aca="false">(M2*2)+L2</f>
        <v>516</v>
      </c>
    </row>
    <row r="3" customFormat="false" ht="15" hidden="false" customHeight="false" outlineLevel="0" collapsed="false">
      <c r="A3" s="12" t="s">
        <v>22</v>
      </c>
      <c r="B3" s="11" t="n">
        <v>2015</v>
      </c>
      <c r="C3" s="11" t="s">
        <v>13</v>
      </c>
      <c r="D3" s="11" t="s">
        <v>14</v>
      </c>
      <c r="E3" s="11" t="n">
        <v>82</v>
      </c>
      <c r="F3" s="11" t="n">
        <v>136</v>
      </c>
      <c r="G3" s="11" t="n">
        <v>44</v>
      </c>
      <c r="H3" s="11" t="n">
        <f aca="false">SUM(E3:G3)</f>
        <v>262</v>
      </c>
      <c r="I3" s="11" t="n">
        <f aca="false">(E3*2)+F3</f>
        <v>300</v>
      </c>
      <c r="J3" s="11" t="n">
        <f aca="false">(G3*2)+F3</f>
        <v>224</v>
      </c>
      <c r="K3" s="11" t="n">
        <v>96</v>
      </c>
      <c r="L3" s="11" t="n">
        <v>106</v>
      </c>
      <c r="M3" s="11" t="n">
        <v>31</v>
      </c>
      <c r="N3" s="11" t="n">
        <f aca="false">SUM(K3:M3)</f>
        <v>233</v>
      </c>
      <c r="O3" s="11" t="n">
        <f aca="false">(K3*2)+L3</f>
        <v>298</v>
      </c>
      <c r="P3" s="11" t="n">
        <f aca="false">(M3*2)+L3</f>
        <v>168</v>
      </c>
    </row>
    <row r="4" customFormat="false" ht="15" hidden="false" customHeight="false" outlineLevel="0" collapsed="false">
      <c r="A4" s="11" t="s">
        <v>23</v>
      </c>
      <c r="B4" s="11" t="n">
        <v>2016</v>
      </c>
      <c r="C4" s="11" t="s">
        <v>16</v>
      </c>
      <c r="D4" s="11" t="s">
        <v>14</v>
      </c>
      <c r="E4" s="11" t="n">
        <v>260</v>
      </c>
      <c r="F4" s="11" t="n">
        <v>306</v>
      </c>
      <c r="G4" s="11" t="n">
        <v>78</v>
      </c>
      <c r="H4" s="11" t="n">
        <v>644</v>
      </c>
      <c r="I4" s="11" t="n">
        <f aca="false">(E4*2)+F4</f>
        <v>826</v>
      </c>
      <c r="J4" s="11" t="n">
        <f aca="false">(G4*2)+F4</f>
        <v>462</v>
      </c>
      <c r="K4" s="11" t="n">
        <v>254</v>
      </c>
      <c r="L4" s="11" t="n">
        <v>315</v>
      </c>
      <c r="M4" s="11" t="n">
        <v>73</v>
      </c>
      <c r="N4" s="11" t="n">
        <v>642</v>
      </c>
      <c r="O4" s="11" t="n">
        <f aca="false">(K4*2)+L4</f>
        <v>823</v>
      </c>
      <c r="P4" s="11" t="n">
        <f aca="false">(M4*2)+L4</f>
        <v>461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2017-05-09T19:56:13Z</dcterms:created>
  <dc:creator>Keat Wei Loo</dc:creator>
  <dc:description/>
  <dc:language>en-US</dc:language>
  <cp:lastModifiedBy>Editor</cp:lastModifiedBy>
  <dcterms:modified xsi:type="dcterms:W3CDTF">2026-07-03T17:54:26Z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b4f7e960da4a499eab2504495f47c3b1</vt:lpwstr>
  </property>
</Properties>
</file>