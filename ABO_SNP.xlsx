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EC\Downloads\HUMGEN-D-26-00359\GITHUB\"/>
    </mc:Choice>
  </mc:AlternateContent>
  <xr:revisionPtr revIDLastSave="0" documentId="13_ncr:1_{42924B85-2041-4193-A7B4-4468AD34D4E7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rs651007" sheetId="1" r:id="rId1"/>
    <sheet name="rs630014" sheetId="2" r:id="rId2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3" i="2" l="1"/>
  <c r="H3" i="2"/>
</calcChain>
</file>

<file path=xl/sharedStrings.xml><?xml version="1.0" encoding="utf-8"?>
<sst xmlns="http://schemas.openxmlformats.org/spreadsheetml/2006/main" count="42" uniqueCount="19">
  <si>
    <t>Author</t>
  </si>
  <si>
    <t>Year</t>
  </si>
  <si>
    <t>Study type</t>
  </si>
  <si>
    <t>Ethnicity</t>
  </si>
  <si>
    <t>CC</t>
  </si>
  <si>
    <t>CT</t>
  </si>
  <si>
    <t>TT</t>
  </si>
  <si>
    <t>Total Case</t>
  </si>
  <si>
    <t>Total Control</t>
  </si>
  <si>
    <t>Cao, M</t>
  </si>
  <si>
    <t>China</t>
  </si>
  <si>
    <t>A</t>
  </si>
  <si>
    <t>Li, H</t>
  </si>
  <si>
    <t>Case-control</t>
  </si>
  <si>
    <t>Ling X</t>
  </si>
  <si>
    <t xml:space="preserve">Hanson E, </t>
  </si>
  <si>
    <t>Caucasian</t>
  </si>
  <si>
    <t>Xu, H</t>
  </si>
  <si>
    <t>Zhang,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</si>
</sst>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2"/>
      <color rgb="FF211E1E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1E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opLeftCell="C1" zoomScale="160" zoomScaleNormal="160" workbookViewId="0">
      <selection activeCell="L2" sqref="E2:L4"/>
    </sheetView>
  </sheetViews>
  <sheetFormatPr defaultColWidth="9.375" defaultRowHeight="15.75" x14ac:dyDescent="0.25"/>
  <cols>
    <col min="1" max="16384" width="9.37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</v>
      </c>
      <c r="J1" s="2" t="s">
        <v>5</v>
      </c>
      <c r="K1" s="2" t="s">
        <v>6</v>
      </c>
      <c r="L1" s="2" t="s">
        <v>8</v>
      </c>
    </row>
    <row r="2" spans="1:12" x14ac:dyDescent="0.25">
      <c r="A2" s="3" t="s">
        <v>9</v>
      </c>
      <c r="B2" s="1">
        <v>2019</v>
      </c>
      <c r="C2" s="1" t="s">
        <v>10</v>
      </c>
      <c r="D2" s="1" t="s">
        <v>11</v>
      </c>
      <c r="E2" s="7">
        <v>52</v>
      </c>
      <c r="F2" s="7">
        <v>44</v>
      </c>
      <c r="G2" s="7">
        <v>4</v>
      </c>
      <c r="H2" s="7">
        <v>100</v>
      </c>
      <c r="I2" s="7">
        <v>26</v>
      </c>
      <c r="J2" s="7">
        <v>14</v>
      </c>
      <c r="K2" s="7">
        <v>3</v>
      </c>
      <c r="L2" s="7">
        <v>43</v>
      </c>
    </row>
    <row r="3" spans="1:12" x14ac:dyDescent="0.25">
      <c r="A3" s="4" t="s">
        <v>12</v>
      </c>
      <c r="B3" s="4">
        <v>2017</v>
      </c>
      <c r="C3" s="4" t="s">
        <v>13</v>
      </c>
      <c r="D3" s="4" t="s">
        <v>11</v>
      </c>
      <c r="E3" s="8">
        <v>565</v>
      </c>
      <c r="F3" s="8">
        <v>354</v>
      </c>
      <c r="G3" s="8">
        <v>72</v>
      </c>
      <c r="H3" s="8">
        <v>991</v>
      </c>
      <c r="I3" s="8">
        <v>597</v>
      </c>
      <c r="J3" s="8">
        <v>347</v>
      </c>
      <c r="K3" s="8">
        <v>58</v>
      </c>
      <c r="L3" s="8">
        <v>1002</v>
      </c>
    </row>
    <row r="4" spans="1:12" x14ac:dyDescent="0.25">
      <c r="A4" s="4" t="s">
        <v>14</v>
      </c>
      <c r="B4" s="4">
        <v>2016</v>
      </c>
      <c r="C4" s="4" t="s">
        <v>13</v>
      </c>
      <c r="D4" s="4" t="s">
        <v>11</v>
      </c>
      <c r="E4" s="7">
        <v>571</v>
      </c>
      <c r="F4" s="7">
        <v>312</v>
      </c>
      <c r="G4" s="7">
        <v>35</v>
      </c>
      <c r="H4" s="8">
        <v>918</v>
      </c>
      <c r="I4" s="7">
        <v>652</v>
      </c>
      <c r="J4" s="7">
        <v>294</v>
      </c>
      <c r="K4" s="7">
        <v>33</v>
      </c>
      <c r="L4" s="7">
        <v>979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tabSelected="1" topLeftCell="D1" zoomScale="160" zoomScaleNormal="160" workbookViewId="0">
      <selection activeCell="L2" sqref="A2:L4"/>
    </sheetView>
  </sheetViews>
  <sheetFormatPr defaultColWidth="9.375" defaultRowHeight="15.75" x14ac:dyDescent="0.25"/>
  <cols>
    <col min="1" max="7" width="9.375" style="5"/>
    <col min="8" max="8" width="9.375" style="5" customWidth="1"/>
    <col min="9" max="16384" width="9.375" style="5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4</v>
      </c>
      <c r="J1" s="6" t="s">
        <v>5</v>
      </c>
      <c r="K1" s="6" t="s">
        <v>6</v>
      </c>
      <c r="L1" s="6" t="s">
        <v>8</v>
      </c>
    </row>
    <row r="2" spans="1:12" x14ac:dyDescent="0.25">
      <c r="A2" s="9" t="s">
        <v>15</v>
      </c>
      <c r="B2" s="9">
        <v>2012</v>
      </c>
      <c r="C2" s="9" t="s">
        <v>13</v>
      </c>
      <c r="D2" s="9" t="s">
        <v>16</v>
      </c>
      <c r="E2" s="9">
        <v>210</v>
      </c>
      <c r="F2" s="9">
        <v>276</v>
      </c>
      <c r="G2" s="9">
        <v>108</v>
      </c>
      <c r="H2" s="9">
        <v>594</v>
      </c>
      <c r="I2" s="9">
        <v>192</v>
      </c>
      <c r="J2" s="9">
        <v>300</v>
      </c>
      <c r="K2" s="9">
        <v>108</v>
      </c>
      <c r="L2" s="9">
        <v>600</v>
      </c>
    </row>
    <row r="3" spans="1:12" x14ac:dyDescent="0.25">
      <c r="A3" s="10" t="s">
        <v>17</v>
      </c>
      <c r="B3" s="9">
        <v>2015</v>
      </c>
      <c r="C3" s="9" t="s">
        <v>10</v>
      </c>
      <c r="D3" s="9" t="s">
        <v>11</v>
      </c>
      <c r="E3" s="9">
        <v>82</v>
      </c>
      <c r="F3" s="9">
        <v>136</v>
      </c>
      <c r="G3" s="9">
        <v>44</v>
      </c>
      <c r="H3" s="9">
        <f>SUM(E3:G3)</f>
        <v>262</v>
      </c>
      <c r="I3" s="9">
        <v>96</v>
      </c>
      <c r="J3" s="9">
        <v>106</v>
      </c>
      <c r="K3" s="9">
        <v>31</v>
      </c>
      <c r="L3" s="9">
        <f>SUM(I3:K3)</f>
        <v>233</v>
      </c>
    </row>
    <row r="4" spans="1:12" x14ac:dyDescent="0.25">
      <c r="A4" s="9" t="s">
        <v>18</v>
      </c>
      <c r="B4" s="9">
        <v>2016</v>
      </c>
      <c r="C4" s="9" t="s">
        <v>13</v>
      </c>
      <c r="D4" s="9" t="s">
        <v>11</v>
      </c>
      <c r="E4" s="9">
        <v>260</v>
      </c>
      <c r="F4" s="9">
        <v>306</v>
      </c>
      <c r="G4" s="9">
        <v>78</v>
      </c>
      <c r="H4" s="9">
        <v>644</v>
      </c>
      <c r="I4" s="9">
        <v>254</v>
      </c>
      <c r="J4" s="9">
        <v>315</v>
      </c>
      <c r="K4" s="9">
        <v>73</v>
      </c>
      <c r="L4" s="9">
        <v>642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rs651007</vt:lpstr>
      <vt:lpstr>rs630014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Keat Wei Loo</dc:creator>
  <dc:description/>
  <cp:lastModifiedBy>NEC</cp:lastModifiedBy>
  <cp:revision>2</cp:revision>
  <dcterms:created xsi:type="dcterms:W3CDTF">2017-05-09T19:56:13Z</dcterms:created>
  <dcterms:modified xsi:type="dcterms:W3CDTF">2026-08-14T12:51:39Z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b4f7e960da4a499eab2504495f47c3b1</vt:lpwstr>
  </property>
</Properties>
</file>